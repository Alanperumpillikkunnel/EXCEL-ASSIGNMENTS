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 and Solutions" sheetId="2" r:id="rId5"/>
  </sheets>
  <definedNames/>
  <calcPr/>
  <extLst>
    <ext uri="GoogleSheetsCustomDataVersion2">
      <go:sheetsCustomData xmlns:go="http://customooxmlschemas.google.com/" r:id="rId6" roundtripDataChecksum="Gb+bJJpYXMAudoOAKzZPvHNiQ2dP2ZoDojFG05NiZFE="/>
    </ext>
  </extLst>
</workbook>
</file>

<file path=xl/sharedStrings.xml><?xml version="1.0" encoding="utf-8"?>
<sst xmlns="http://schemas.openxmlformats.org/spreadsheetml/2006/main" count="170" uniqueCount="121">
  <si>
    <t>Product ID</t>
  </si>
  <si>
    <t>Perform the following in the dataset from the 'Dataset' sheet.</t>
  </si>
  <si>
    <t>Product Name</t>
  </si>
  <si>
    <t>Brand Name</t>
  </si>
  <si>
    <t>Price ($)</t>
  </si>
  <si>
    <t>Quantity</t>
  </si>
  <si>
    <t>Category</t>
  </si>
  <si>
    <t>1) Sum, Count, Average:</t>
  </si>
  <si>
    <t>SUM</t>
  </si>
  <si>
    <t>• What is the total price of all products in the dataset?</t>
  </si>
  <si>
    <t>Count</t>
  </si>
  <si>
    <t>Average</t>
  </si>
  <si>
    <t>Min</t>
  </si>
  <si>
    <t>• How many products are there in the dataset?</t>
  </si>
  <si>
    <t>Max</t>
  </si>
  <si>
    <t xml:space="preserve">Price Range </t>
  </si>
  <si>
    <t>• Calculate the average price of the products.</t>
  </si>
  <si>
    <t>Total price (Electronics)</t>
  </si>
  <si>
    <t>COUNTIF</t>
  </si>
  <si>
    <t>DAY</t>
  </si>
  <si>
    <t xml:space="preserve">Country code </t>
  </si>
  <si>
    <t>Month</t>
  </si>
  <si>
    <t>2) Min and Max:</t>
  </si>
  <si>
    <t>28-JAN-US</t>
  </si>
  <si>
    <t>• Determine the minimum price among all products.</t>
  </si>
  <si>
    <t>• Find the maximum price among all products.</t>
  </si>
  <si>
    <t>Laptop</t>
  </si>
  <si>
    <t>Dell</t>
  </si>
  <si>
    <t>3) IF Function:</t>
  </si>
  <si>
    <t>Electronics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</si>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</sst>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b/>
      <sz val="12.0"/>
      <color theme="1"/>
      <name val="Times New Roman"/>
    </font>
    <font>
      <b/>
      <color theme="1"/>
      <name val="Arial"/>
      <scheme val="minor"/>
    </font>
    <font>
      <sz val="12.0"/>
      <color theme="1"/>
      <name val="Times New Roman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00FFFF"/>
        <bgColor rgb="FF00FFFF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Font="1"/>
    <xf borderId="0" fillId="3" fontId="4" numFmtId="0" xfId="0" applyAlignment="1" applyFill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4" fontId="7" numFmtId="0" xfId="0" applyFill="1" applyFont="1"/>
    <xf borderId="0" fillId="5" fontId="7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7.5"/>
  </cols>
  <sheetData>
    <row r="1" ht="15.75" customHeight="1">
      <c r="A1" s="2" t="s">
        <v>1</v>
      </c>
    </row>
    <row r="2" ht="15.75" customHeight="1"/>
    <row r="3" ht="15.75" customHeight="1">
      <c r="B3" s="4" t="s">
        <v>7</v>
      </c>
    </row>
    <row r="4" ht="15.75" customHeight="1">
      <c r="B4" s="4"/>
      <c r="C4" s="6" t="s">
        <v>9</v>
      </c>
    </row>
    <row r="5" ht="15.75" customHeight="1">
      <c r="B5" s="4"/>
      <c r="C5" s="6" t="s">
        <v>13</v>
      </c>
    </row>
    <row r="6" ht="15.75" customHeight="1">
      <c r="B6" s="4"/>
      <c r="C6" s="6" t="s">
        <v>16</v>
      </c>
    </row>
    <row r="7" ht="15.75" customHeight="1">
      <c r="B7" s="7"/>
    </row>
    <row r="8" ht="15.75" customHeight="1">
      <c r="B8" s="4" t="s">
        <v>22</v>
      </c>
    </row>
    <row r="9" ht="15.75" customHeight="1">
      <c r="C9" s="6" t="s">
        <v>24</v>
      </c>
    </row>
    <row r="10" ht="15.75" customHeight="1">
      <c r="C10" s="6" t="s">
        <v>25</v>
      </c>
    </row>
    <row r="11" ht="15.75" customHeight="1">
      <c r="B11" s="7"/>
    </row>
    <row r="12" ht="15.75" customHeight="1">
      <c r="B12" s="4" t="s">
        <v>28</v>
      </c>
    </row>
    <row r="13" ht="15.75" customHeight="1">
      <c r="C13" s="6" t="s">
        <v>30</v>
      </c>
    </row>
    <row r="14" ht="15.75" customHeight="1">
      <c r="B14" s="7"/>
    </row>
    <row r="15" ht="15.75" customHeight="1">
      <c r="B15" s="4" t="s">
        <v>31</v>
      </c>
    </row>
    <row r="16" ht="15.75" customHeight="1">
      <c r="C16" s="6" t="s">
        <v>32</v>
      </c>
    </row>
    <row r="17" ht="15.75" customHeight="1">
      <c r="C17" s="6" t="s">
        <v>33</v>
      </c>
    </row>
    <row r="18" ht="15.75" customHeight="1">
      <c r="B18" s="7"/>
    </row>
    <row r="19" ht="15.75" customHeight="1">
      <c r="B19" s="4" t="s">
        <v>34</v>
      </c>
    </row>
    <row r="20" ht="15.75" customHeight="1">
      <c r="C20" s="6" t="s">
        <v>35</v>
      </c>
    </row>
    <row r="21" ht="15.75" customHeight="1">
      <c r="C21" s="6" t="s">
        <v>36</v>
      </c>
    </row>
    <row r="22" ht="15.75" customHeight="1">
      <c r="C22" s="6" t="s">
        <v>37</v>
      </c>
    </row>
    <row r="23" ht="15.75" customHeight="1">
      <c r="B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13"/>
    <col customWidth="1" min="14" max="14" width="22.0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/>
      <c r="H1" s="5" t="s">
        <v>8</v>
      </c>
      <c r="I1" s="5" t="s">
        <v>10</v>
      </c>
      <c r="J1" s="5" t="s">
        <v>11</v>
      </c>
      <c r="K1" s="5" t="s">
        <v>12</v>
      </c>
      <c r="L1" s="5" t="s">
        <v>14</v>
      </c>
      <c r="M1" s="5" t="s">
        <v>15</v>
      </c>
      <c r="N1" s="5" t="s">
        <v>17</v>
      </c>
      <c r="O1" s="5" t="s">
        <v>18</v>
      </c>
      <c r="P1" s="5" t="s">
        <v>19</v>
      </c>
      <c r="Q1" s="5" t="s">
        <v>20</v>
      </c>
      <c r="R1" s="5" t="s">
        <v>21</v>
      </c>
    </row>
    <row r="2" ht="15.75" customHeight="1">
      <c r="A2" s="8" t="s">
        <v>23</v>
      </c>
      <c r="B2" s="8" t="s">
        <v>26</v>
      </c>
      <c r="C2" s="8" t="s">
        <v>27</v>
      </c>
      <c r="D2" s="8">
        <v>1000.0</v>
      </c>
      <c r="E2" s="8">
        <v>30.0</v>
      </c>
      <c r="F2" s="8" t="s">
        <v>29</v>
      </c>
      <c r="G2" s="8"/>
      <c r="H2" s="9">
        <f>SUM(D2:D35)</f>
        <v>10100</v>
      </c>
      <c r="I2" s="9">
        <f>COUNTA(B2:B35)</f>
        <v>34</v>
      </c>
      <c r="J2" s="9">
        <f>AVERAGE(D2:D35)</f>
        <v>297.0588235</v>
      </c>
      <c r="K2" s="9">
        <f>min(D2:D35)</f>
        <v>30</v>
      </c>
      <c r="L2" s="9">
        <f>MAX(D2:D35)</f>
        <v>1000</v>
      </c>
      <c r="M2" s="9" t="str">
        <f t="shared" ref="M2:M35" si="1">IF(D2 &gt;= 500, "High Price", "Standard Price")</f>
        <v>High Price</v>
      </c>
      <c r="N2" s="9">
        <f>SUMIF(F2:F35,"Electronics",D2:D35)</f>
        <v>8050</v>
      </c>
      <c r="O2" s="9">
        <f>COUNTIF(D2:D35,"&lt;100")</f>
        <v>11</v>
      </c>
      <c r="P2" s="9" t="str">
        <f t="shared" ref="P2:P35" si="2">LEFT(A2,2)</f>
        <v>28</v>
      </c>
      <c r="Q2" s="9" t="str">
        <f t="shared" ref="Q2:Q35" si="3">RIGHT(A2,2)</f>
        <v>US</v>
      </c>
      <c r="R2" s="9" t="str">
        <f t="shared" ref="R2:R35" si="4">MID(A2,4,3)</f>
        <v>JAN</v>
      </c>
    </row>
    <row r="3" ht="15.75" customHeight="1">
      <c r="A3" s="10" t="s">
        <v>38</v>
      </c>
      <c r="B3" s="10" t="s">
        <v>39</v>
      </c>
      <c r="C3" s="10" t="s">
        <v>40</v>
      </c>
      <c r="D3" s="10">
        <v>80.0</v>
      </c>
      <c r="E3" s="10">
        <v>15.0</v>
      </c>
      <c r="F3" s="10" t="s">
        <v>41</v>
      </c>
      <c r="G3" s="8"/>
      <c r="M3" s="9" t="str">
        <f t="shared" si="1"/>
        <v>Standard Price</v>
      </c>
      <c r="P3" s="9" t="str">
        <f t="shared" si="2"/>
        <v>15</v>
      </c>
      <c r="Q3" s="9" t="str">
        <f t="shared" si="3"/>
        <v>US</v>
      </c>
      <c r="R3" s="9" t="str">
        <f t="shared" si="4"/>
        <v>FEB</v>
      </c>
    </row>
    <row r="4" ht="15.75" customHeight="1">
      <c r="A4" s="8" t="s">
        <v>42</v>
      </c>
      <c r="B4" s="8" t="s">
        <v>43</v>
      </c>
      <c r="C4" s="8" t="s">
        <v>44</v>
      </c>
      <c r="D4" s="8">
        <v>130.0</v>
      </c>
      <c r="E4" s="8">
        <v>40.0</v>
      </c>
      <c r="F4" s="8" t="s">
        <v>45</v>
      </c>
      <c r="G4" s="8"/>
      <c r="M4" s="9" t="str">
        <f t="shared" si="1"/>
        <v>Standard Price</v>
      </c>
      <c r="P4" s="9" t="str">
        <f t="shared" si="2"/>
        <v>03</v>
      </c>
      <c r="Q4" s="9" t="str">
        <f t="shared" si="3"/>
        <v>US</v>
      </c>
      <c r="R4" s="9" t="str">
        <f t="shared" si="4"/>
        <v>MAR</v>
      </c>
    </row>
    <row r="5" ht="15.75" customHeight="1">
      <c r="A5" s="10" t="s">
        <v>46</v>
      </c>
      <c r="B5" s="10" t="s">
        <v>47</v>
      </c>
      <c r="C5" s="10" t="s">
        <v>48</v>
      </c>
      <c r="D5" s="10">
        <v>900.0</v>
      </c>
      <c r="E5" s="10">
        <v>25.0</v>
      </c>
      <c r="F5" s="10" t="s">
        <v>29</v>
      </c>
      <c r="G5" s="8"/>
      <c r="M5" s="9" t="str">
        <f t="shared" si="1"/>
        <v>High Price</v>
      </c>
      <c r="P5" s="9" t="str">
        <f t="shared" si="2"/>
        <v>11</v>
      </c>
      <c r="Q5" s="9" t="str">
        <f t="shared" si="3"/>
        <v>US</v>
      </c>
      <c r="R5" s="9" t="str">
        <f t="shared" si="4"/>
        <v>APR</v>
      </c>
    </row>
    <row r="6" ht="15.75" customHeight="1">
      <c r="A6" s="8" t="s">
        <v>49</v>
      </c>
      <c r="B6" s="8" t="s">
        <v>50</v>
      </c>
      <c r="C6" s="8" t="s">
        <v>51</v>
      </c>
      <c r="D6" s="8">
        <v>70.0</v>
      </c>
      <c r="E6" s="8">
        <v>20.0</v>
      </c>
      <c r="F6" s="8" t="s">
        <v>52</v>
      </c>
      <c r="G6" s="8"/>
      <c r="M6" s="9" t="str">
        <f t="shared" si="1"/>
        <v>Standard Price</v>
      </c>
      <c r="P6" s="9" t="str">
        <f t="shared" si="2"/>
        <v>22</v>
      </c>
      <c r="Q6" s="9" t="str">
        <f t="shared" si="3"/>
        <v>US</v>
      </c>
      <c r="R6" s="9" t="str">
        <f t="shared" si="4"/>
        <v>MAY</v>
      </c>
    </row>
    <row r="7" ht="15.75" customHeight="1">
      <c r="A7" s="10" t="s">
        <v>53</v>
      </c>
      <c r="B7" s="10" t="s">
        <v>54</v>
      </c>
      <c r="C7" s="10" t="s">
        <v>55</v>
      </c>
      <c r="D7" s="10">
        <v>200.0</v>
      </c>
      <c r="E7" s="10">
        <v>45.0</v>
      </c>
      <c r="F7" s="10" t="s">
        <v>29</v>
      </c>
      <c r="G7" s="8"/>
      <c r="M7" s="9" t="str">
        <f t="shared" si="1"/>
        <v>Standard Price</v>
      </c>
      <c r="P7" s="9" t="str">
        <f t="shared" si="2"/>
        <v>07</v>
      </c>
      <c r="Q7" s="9" t="str">
        <f t="shared" si="3"/>
        <v>UK</v>
      </c>
      <c r="R7" s="9" t="str">
        <f t="shared" si="4"/>
        <v>JUN</v>
      </c>
    </row>
    <row r="8" ht="15.75" customHeight="1">
      <c r="A8" s="8" t="s">
        <v>56</v>
      </c>
      <c r="B8" s="8" t="s">
        <v>57</v>
      </c>
      <c r="C8" s="8" t="s">
        <v>58</v>
      </c>
      <c r="D8" s="8">
        <v>30.0</v>
      </c>
      <c r="E8" s="8">
        <v>5.0</v>
      </c>
      <c r="F8" s="8" t="s">
        <v>41</v>
      </c>
      <c r="G8" s="8"/>
      <c r="M8" s="9" t="str">
        <f t="shared" si="1"/>
        <v>Standard Price</v>
      </c>
      <c r="P8" s="9" t="str">
        <f t="shared" si="2"/>
        <v>19</v>
      </c>
      <c r="Q8" s="9" t="str">
        <f t="shared" si="3"/>
        <v>UK</v>
      </c>
      <c r="R8" s="9" t="str">
        <f t="shared" si="4"/>
        <v>JUL</v>
      </c>
    </row>
    <row r="9" ht="15.75" customHeight="1">
      <c r="A9" s="10" t="s">
        <v>59</v>
      </c>
      <c r="B9" s="10" t="s">
        <v>60</v>
      </c>
      <c r="C9" s="10" t="s">
        <v>61</v>
      </c>
      <c r="D9" s="10">
        <v>90.0</v>
      </c>
      <c r="E9" s="10">
        <v>35.0</v>
      </c>
      <c r="F9" s="10" t="s">
        <v>45</v>
      </c>
      <c r="G9" s="8"/>
      <c r="M9" s="9" t="str">
        <f t="shared" si="1"/>
        <v>Standard Price</v>
      </c>
      <c r="P9" s="9" t="str">
        <f t="shared" si="2"/>
        <v>23</v>
      </c>
      <c r="Q9" s="9" t="str">
        <f t="shared" si="3"/>
        <v>UK</v>
      </c>
      <c r="R9" s="9" t="str">
        <f t="shared" si="4"/>
        <v>AUG</v>
      </c>
    </row>
    <row r="10" ht="15.75" customHeight="1">
      <c r="A10" s="8" t="s">
        <v>62</v>
      </c>
      <c r="B10" s="8" t="s">
        <v>63</v>
      </c>
      <c r="C10" s="8" t="s">
        <v>64</v>
      </c>
      <c r="D10" s="8">
        <v>500.0</v>
      </c>
      <c r="E10" s="8">
        <v>50.0</v>
      </c>
      <c r="F10" s="8" t="s">
        <v>29</v>
      </c>
      <c r="G10" s="8"/>
      <c r="M10" s="9" t="str">
        <f t="shared" si="1"/>
        <v>High Price</v>
      </c>
      <c r="P10" s="9" t="str">
        <f t="shared" si="2"/>
        <v>05</v>
      </c>
      <c r="Q10" s="9" t="str">
        <f t="shared" si="3"/>
        <v>UK</v>
      </c>
      <c r="R10" s="9" t="str">
        <f t="shared" si="4"/>
        <v>SEP</v>
      </c>
    </row>
    <row r="11" ht="15.75" customHeight="1">
      <c r="A11" s="10" t="s">
        <v>65</v>
      </c>
      <c r="B11" s="10" t="s">
        <v>66</v>
      </c>
      <c r="C11" s="10" t="s">
        <v>67</v>
      </c>
      <c r="D11" s="10">
        <v>130.0</v>
      </c>
      <c r="E11" s="10">
        <v>10.0</v>
      </c>
      <c r="F11" s="10" t="s">
        <v>52</v>
      </c>
      <c r="G11" s="8"/>
      <c r="M11" s="9" t="str">
        <f t="shared" si="1"/>
        <v>Standard Price</v>
      </c>
      <c r="P11" s="9" t="str">
        <f t="shared" si="2"/>
        <v>14</v>
      </c>
      <c r="Q11" s="9" t="str">
        <f t="shared" si="3"/>
        <v>UK</v>
      </c>
      <c r="R11" s="9" t="str">
        <f t="shared" si="4"/>
        <v>OCT</v>
      </c>
    </row>
    <row r="12" ht="15.75" customHeight="1">
      <c r="A12" s="8" t="s">
        <v>68</v>
      </c>
      <c r="B12" s="8" t="s">
        <v>26</v>
      </c>
      <c r="C12" s="8" t="s">
        <v>69</v>
      </c>
      <c r="D12" s="8">
        <v>950.0</v>
      </c>
      <c r="E12" s="8">
        <v>25.0</v>
      </c>
      <c r="F12" s="8" t="s">
        <v>29</v>
      </c>
      <c r="G12" s="8"/>
      <c r="M12" s="9" t="str">
        <f t="shared" si="1"/>
        <v>High Price</v>
      </c>
      <c r="P12" s="9" t="str">
        <f t="shared" si="2"/>
        <v>17</v>
      </c>
      <c r="Q12" s="9" t="str">
        <f t="shared" si="3"/>
        <v>IN</v>
      </c>
      <c r="R12" s="9" t="str">
        <f t="shared" si="4"/>
        <v>JUN</v>
      </c>
    </row>
    <row r="13" ht="15.75" customHeight="1">
      <c r="A13" s="10" t="s">
        <v>70</v>
      </c>
      <c r="B13" s="10" t="s">
        <v>39</v>
      </c>
      <c r="C13" s="10" t="s">
        <v>58</v>
      </c>
      <c r="D13" s="10">
        <v>90.0</v>
      </c>
      <c r="E13" s="10">
        <v>40.0</v>
      </c>
      <c r="F13" s="10" t="s">
        <v>41</v>
      </c>
      <c r="G13" s="8"/>
      <c r="M13" s="9" t="str">
        <f t="shared" si="1"/>
        <v>Standard Price</v>
      </c>
      <c r="P13" s="9" t="str">
        <f t="shared" si="2"/>
        <v>25</v>
      </c>
      <c r="Q13" s="9" t="str">
        <f t="shared" si="3"/>
        <v>AU</v>
      </c>
      <c r="R13" s="9" t="str">
        <f t="shared" si="4"/>
        <v>NOV</v>
      </c>
    </row>
    <row r="14" ht="15.75" customHeight="1">
      <c r="A14" s="8" t="s">
        <v>71</v>
      </c>
      <c r="B14" s="8" t="s">
        <v>43</v>
      </c>
      <c r="C14" s="8" t="s">
        <v>72</v>
      </c>
      <c r="D14" s="8">
        <v>120.0</v>
      </c>
      <c r="E14" s="8">
        <v>35.0</v>
      </c>
      <c r="F14" s="8" t="s">
        <v>45</v>
      </c>
      <c r="G14" s="8"/>
      <c r="M14" s="9" t="str">
        <f t="shared" si="1"/>
        <v>Standard Price</v>
      </c>
      <c r="P14" s="9" t="str">
        <f t="shared" si="2"/>
        <v>08</v>
      </c>
      <c r="Q14" s="9" t="str">
        <f t="shared" si="3"/>
        <v>DE</v>
      </c>
      <c r="R14" s="9" t="str">
        <f t="shared" si="4"/>
        <v>DEC</v>
      </c>
    </row>
    <row r="15" ht="15.75" customHeight="1">
      <c r="A15" s="10" t="s">
        <v>73</v>
      </c>
      <c r="B15" s="10" t="s">
        <v>74</v>
      </c>
      <c r="C15" s="10" t="s">
        <v>75</v>
      </c>
      <c r="D15" s="10">
        <v>150.0</v>
      </c>
      <c r="E15" s="10">
        <v>15.0</v>
      </c>
      <c r="F15" s="10" t="s">
        <v>29</v>
      </c>
      <c r="G15" s="8"/>
      <c r="M15" s="9" t="str">
        <f t="shared" si="1"/>
        <v>Standard Price</v>
      </c>
      <c r="P15" s="9" t="str">
        <f t="shared" si="2"/>
        <v>18</v>
      </c>
      <c r="Q15" s="9" t="str">
        <f t="shared" si="3"/>
        <v>CA</v>
      </c>
      <c r="R15" s="9" t="str">
        <f t="shared" si="4"/>
        <v>FEB</v>
      </c>
    </row>
    <row r="16" ht="15.75" customHeight="1">
      <c r="A16" s="8" t="s">
        <v>76</v>
      </c>
      <c r="B16" s="8" t="s">
        <v>54</v>
      </c>
      <c r="C16" s="8" t="s">
        <v>77</v>
      </c>
      <c r="D16" s="8">
        <v>250.0</v>
      </c>
      <c r="E16" s="8">
        <v>20.0</v>
      </c>
      <c r="F16" s="8" t="s">
        <v>29</v>
      </c>
      <c r="G16" s="8"/>
      <c r="M16" s="9" t="str">
        <f t="shared" si="1"/>
        <v>Standard Price</v>
      </c>
      <c r="P16" s="9" t="str">
        <f t="shared" si="2"/>
        <v>16</v>
      </c>
      <c r="Q16" s="9" t="str">
        <f t="shared" si="3"/>
        <v>ES</v>
      </c>
      <c r="R16" s="9" t="str">
        <f t="shared" si="4"/>
        <v>APR</v>
      </c>
    </row>
    <row r="17" ht="15.75" customHeight="1">
      <c r="A17" s="10" t="s">
        <v>78</v>
      </c>
      <c r="B17" s="10" t="s">
        <v>79</v>
      </c>
      <c r="C17" s="10" t="s">
        <v>80</v>
      </c>
      <c r="D17" s="10">
        <v>50.0</v>
      </c>
      <c r="E17" s="10">
        <v>35.0</v>
      </c>
      <c r="F17" s="10" t="s">
        <v>81</v>
      </c>
      <c r="G17" s="8"/>
      <c r="M17" s="9" t="str">
        <f t="shared" si="1"/>
        <v>Standard Price</v>
      </c>
      <c r="P17" s="9" t="str">
        <f t="shared" si="2"/>
        <v>21</v>
      </c>
      <c r="Q17" s="9" t="str">
        <f t="shared" si="3"/>
        <v>CA</v>
      </c>
      <c r="R17" s="9" t="str">
        <f t="shared" si="4"/>
        <v>AUG</v>
      </c>
    </row>
    <row r="18" ht="15.75" customHeight="1">
      <c r="A18" s="8" t="s">
        <v>82</v>
      </c>
      <c r="B18" s="8" t="s">
        <v>74</v>
      </c>
      <c r="C18" s="8" t="s">
        <v>83</v>
      </c>
      <c r="D18" s="8">
        <v>160.0</v>
      </c>
      <c r="E18" s="8">
        <v>15.0</v>
      </c>
      <c r="F18" s="8" t="s">
        <v>29</v>
      </c>
      <c r="G18" s="8"/>
      <c r="M18" s="9" t="str">
        <f t="shared" si="1"/>
        <v>Standard Price</v>
      </c>
      <c r="P18" s="9" t="str">
        <f t="shared" si="2"/>
        <v>20</v>
      </c>
      <c r="Q18" s="9" t="str">
        <f t="shared" si="3"/>
        <v>CN</v>
      </c>
      <c r="R18" s="9" t="str">
        <f t="shared" si="4"/>
        <v>AUG</v>
      </c>
    </row>
    <row r="19" ht="15.75" customHeight="1">
      <c r="A19" s="10" t="s">
        <v>84</v>
      </c>
      <c r="B19" s="10" t="s">
        <v>26</v>
      </c>
      <c r="C19" s="10" t="s">
        <v>85</v>
      </c>
      <c r="D19" s="10">
        <v>980.0</v>
      </c>
      <c r="E19" s="10">
        <v>10.0</v>
      </c>
      <c r="F19" s="10" t="s">
        <v>29</v>
      </c>
      <c r="G19" s="8"/>
      <c r="M19" s="9" t="str">
        <f t="shared" si="1"/>
        <v>High Price</v>
      </c>
      <c r="P19" s="9" t="str">
        <f t="shared" si="2"/>
        <v>27</v>
      </c>
      <c r="Q19" s="9" t="str">
        <f t="shared" si="3"/>
        <v>IT</v>
      </c>
      <c r="R19" s="9" t="str">
        <f t="shared" si="4"/>
        <v>JAN</v>
      </c>
    </row>
    <row r="20" ht="15.75" customHeight="1">
      <c r="A20" s="8" t="s">
        <v>86</v>
      </c>
      <c r="B20" s="8" t="s">
        <v>87</v>
      </c>
      <c r="C20" s="8" t="s">
        <v>88</v>
      </c>
      <c r="D20" s="8">
        <v>150.0</v>
      </c>
      <c r="E20" s="8">
        <v>15.0</v>
      </c>
      <c r="F20" s="8" t="s">
        <v>41</v>
      </c>
      <c r="G20" s="8"/>
      <c r="M20" s="9" t="str">
        <f t="shared" si="1"/>
        <v>Standard Price</v>
      </c>
      <c r="P20" s="9" t="str">
        <f t="shared" si="2"/>
        <v>01</v>
      </c>
      <c r="Q20" s="9" t="str">
        <f t="shared" si="3"/>
        <v>UK</v>
      </c>
      <c r="R20" s="9" t="str">
        <f t="shared" si="4"/>
        <v>MAR</v>
      </c>
    </row>
    <row r="21" ht="15.75" customHeight="1">
      <c r="A21" s="10" t="s">
        <v>89</v>
      </c>
      <c r="B21" s="10" t="s">
        <v>90</v>
      </c>
      <c r="C21" s="10" t="s">
        <v>91</v>
      </c>
      <c r="D21" s="10">
        <v>200.0</v>
      </c>
      <c r="E21" s="10">
        <v>10.0</v>
      </c>
      <c r="F21" s="10" t="s">
        <v>52</v>
      </c>
      <c r="G21" s="8"/>
      <c r="M21" s="9" t="str">
        <f t="shared" si="1"/>
        <v>Standard Price</v>
      </c>
      <c r="P21" s="9" t="str">
        <f t="shared" si="2"/>
        <v>14</v>
      </c>
      <c r="Q21" s="9" t="str">
        <f t="shared" si="3"/>
        <v>US</v>
      </c>
      <c r="R21" s="9" t="str">
        <f t="shared" si="4"/>
        <v>AUG</v>
      </c>
    </row>
    <row r="22" ht="15.75" customHeight="1">
      <c r="A22" s="8" t="s">
        <v>92</v>
      </c>
      <c r="B22" s="8" t="s">
        <v>93</v>
      </c>
      <c r="C22" s="8" t="s">
        <v>94</v>
      </c>
      <c r="D22" s="8">
        <v>700.0</v>
      </c>
      <c r="E22" s="8">
        <v>50.0</v>
      </c>
      <c r="F22" s="8" t="s">
        <v>29</v>
      </c>
      <c r="G22" s="8"/>
      <c r="M22" s="9" t="str">
        <f t="shared" si="1"/>
        <v>High Price</v>
      </c>
      <c r="P22" s="9" t="str">
        <f t="shared" si="2"/>
        <v>14</v>
      </c>
      <c r="Q22" s="9" t="str">
        <f t="shared" si="3"/>
        <v>RU</v>
      </c>
      <c r="R22" s="9" t="str">
        <f t="shared" si="4"/>
        <v>MAY</v>
      </c>
    </row>
    <row r="23" ht="15.75" customHeight="1">
      <c r="A23" s="10" t="s">
        <v>95</v>
      </c>
      <c r="B23" s="10" t="s">
        <v>96</v>
      </c>
      <c r="C23" s="10" t="s">
        <v>97</v>
      </c>
      <c r="D23" s="10">
        <v>80.0</v>
      </c>
      <c r="E23" s="10">
        <v>20.0</v>
      </c>
      <c r="F23" s="10" t="s">
        <v>45</v>
      </c>
      <c r="G23" s="8"/>
      <c r="M23" s="9" t="str">
        <f t="shared" si="1"/>
        <v>Standard Price</v>
      </c>
      <c r="P23" s="9" t="str">
        <f t="shared" si="2"/>
        <v>09</v>
      </c>
      <c r="Q23" s="9" t="str">
        <f t="shared" si="3"/>
        <v>CA</v>
      </c>
      <c r="R23" s="9" t="str">
        <f t="shared" si="4"/>
        <v>JAN</v>
      </c>
    </row>
    <row r="24" ht="15.75" customHeight="1">
      <c r="A24" s="8" t="s">
        <v>98</v>
      </c>
      <c r="B24" s="8" t="s">
        <v>99</v>
      </c>
      <c r="C24" s="8" t="s">
        <v>100</v>
      </c>
      <c r="D24" s="8">
        <v>150.0</v>
      </c>
      <c r="E24" s="8">
        <v>30.0</v>
      </c>
      <c r="F24" s="8" t="s">
        <v>29</v>
      </c>
      <c r="G24" s="8"/>
      <c r="M24" s="9" t="str">
        <f t="shared" si="1"/>
        <v>Standard Price</v>
      </c>
      <c r="P24" s="9" t="str">
        <f t="shared" si="2"/>
        <v>19</v>
      </c>
      <c r="Q24" s="9" t="str">
        <f t="shared" si="3"/>
        <v>BR</v>
      </c>
      <c r="R24" s="9" t="str">
        <f t="shared" si="4"/>
        <v>JUL</v>
      </c>
    </row>
    <row r="25" ht="15.75" customHeight="1">
      <c r="A25" s="10" t="s">
        <v>78</v>
      </c>
      <c r="B25" s="10" t="s">
        <v>79</v>
      </c>
      <c r="C25" s="10" t="s">
        <v>80</v>
      </c>
      <c r="D25" s="10">
        <v>50.0</v>
      </c>
      <c r="E25" s="10">
        <v>35.0</v>
      </c>
      <c r="F25" s="10" t="s">
        <v>81</v>
      </c>
      <c r="G25" s="11"/>
      <c r="M25" s="9" t="str">
        <f t="shared" si="1"/>
        <v>Standard Price</v>
      </c>
      <c r="P25" s="9" t="str">
        <f t="shared" si="2"/>
        <v>21</v>
      </c>
      <c r="Q25" s="9" t="str">
        <f t="shared" si="3"/>
        <v>CA</v>
      </c>
      <c r="R25" s="9" t="str">
        <f t="shared" si="4"/>
        <v>AUG</v>
      </c>
    </row>
    <row r="26" ht="15.75" customHeight="1">
      <c r="A26" s="8" t="s">
        <v>101</v>
      </c>
      <c r="B26" s="8" t="s">
        <v>47</v>
      </c>
      <c r="C26" s="8" t="s">
        <v>102</v>
      </c>
      <c r="D26" s="8">
        <v>800.0</v>
      </c>
      <c r="E26" s="8">
        <v>45.0</v>
      </c>
      <c r="F26" s="8" t="s">
        <v>29</v>
      </c>
      <c r="G26" s="8"/>
      <c r="M26" s="9" t="str">
        <f t="shared" si="1"/>
        <v>High Price</v>
      </c>
      <c r="P26" s="9" t="str">
        <f t="shared" si="2"/>
        <v>29</v>
      </c>
      <c r="Q26" s="9" t="str">
        <f t="shared" si="3"/>
        <v>CA</v>
      </c>
      <c r="R26" s="9" t="str">
        <f t="shared" si="4"/>
        <v>SEP</v>
      </c>
    </row>
    <row r="27" ht="15.75" customHeight="1">
      <c r="A27" s="10" t="s">
        <v>103</v>
      </c>
      <c r="B27" s="10" t="s">
        <v>87</v>
      </c>
      <c r="C27" s="10" t="s">
        <v>104</v>
      </c>
      <c r="D27" s="10">
        <v>130.0</v>
      </c>
      <c r="E27" s="10">
        <v>25.0</v>
      </c>
      <c r="F27" s="10" t="s">
        <v>41</v>
      </c>
      <c r="G27" s="8"/>
      <c r="M27" s="9" t="str">
        <f t="shared" si="1"/>
        <v>Standard Price</v>
      </c>
      <c r="P27" s="9" t="str">
        <f t="shared" si="2"/>
        <v>03</v>
      </c>
      <c r="Q27" s="9" t="str">
        <f t="shared" si="3"/>
        <v>CA</v>
      </c>
      <c r="R27" s="9" t="str">
        <f t="shared" si="4"/>
        <v>JUN</v>
      </c>
    </row>
    <row r="28" ht="15.75" customHeight="1">
      <c r="A28" s="8" t="s">
        <v>105</v>
      </c>
      <c r="B28" s="8" t="s">
        <v>60</v>
      </c>
      <c r="C28" s="8" t="s">
        <v>106</v>
      </c>
      <c r="D28" s="8">
        <v>400.0</v>
      </c>
      <c r="E28" s="8">
        <v>40.0</v>
      </c>
      <c r="F28" s="8" t="s">
        <v>45</v>
      </c>
      <c r="G28" s="8"/>
      <c r="M28" s="9" t="str">
        <f t="shared" si="1"/>
        <v>Standard Price</v>
      </c>
      <c r="P28" s="9" t="str">
        <f t="shared" si="2"/>
        <v>11</v>
      </c>
      <c r="Q28" s="9" t="str">
        <f t="shared" si="3"/>
        <v>CA</v>
      </c>
      <c r="R28" s="9" t="str">
        <f t="shared" si="4"/>
        <v>JUL</v>
      </c>
    </row>
    <row r="29" ht="15.75" customHeight="1">
      <c r="A29" s="10" t="s">
        <v>76</v>
      </c>
      <c r="B29" s="10" t="s">
        <v>54</v>
      </c>
      <c r="C29" s="10" t="s">
        <v>77</v>
      </c>
      <c r="D29" s="10">
        <v>230.0</v>
      </c>
      <c r="E29" s="10">
        <v>20.0</v>
      </c>
      <c r="F29" s="10" t="s">
        <v>29</v>
      </c>
      <c r="G29" s="11"/>
      <c r="M29" s="9" t="str">
        <f t="shared" si="1"/>
        <v>Standard Price</v>
      </c>
      <c r="P29" s="9" t="str">
        <f t="shared" si="2"/>
        <v>16</v>
      </c>
      <c r="Q29" s="9" t="str">
        <f t="shared" si="3"/>
        <v>ES</v>
      </c>
      <c r="R29" s="9" t="str">
        <f t="shared" si="4"/>
        <v>APR</v>
      </c>
    </row>
    <row r="30" ht="15.75" customHeight="1">
      <c r="A30" s="8" t="s">
        <v>107</v>
      </c>
      <c r="B30" s="8" t="s">
        <v>108</v>
      </c>
      <c r="C30" s="8" t="s">
        <v>109</v>
      </c>
      <c r="D30" s="8">
        <v>60.0</v>
      </c>
      <c r="E30" s="8">
        <v>30.0</v>
      </c>
      <c r="F30" s="8" t="s">
        <v>41</v>
      </c>
      <c r="G30" s="8"/>
      <c r="M30" s="9" t="str">
        <f t="shared" si="1"/>
        <v>Standard Price</v>
      </c>
      <c r="P30" s="9" t="str">
        <f t="shared" si="2"/>
        <v>07</v>
      </c>
      <c r="Q30" s="9" t="str">
        <f t="shared" si="3"/>
        <v>CA</v>
      </c>
      <c r="R30" s="9" t="str">
        <f t="shared" si="4"/>
        <v>MAR</v>
      </c>
    </row>
    <row r="31" ht="15.75" customHeight="1">
      <c r="A31" s="10" t="s">
        <v>110</v>
      </c>
      <c r="B31" s="10" t="s">
        <v>111</v>
      </c>
      <c r="C31" s="10" t="s">
        <v>112</v>
      </c>
      <c r="D31" s="10">
        <v>40.0</v>
      </c>
      <c r="E31" s="10">
        <v>10.0</v>
      </c>
      <c r="F31" s="10" t="s">
        <v>45</v>
      </c>
      <c r="G31" s="8"/>
      <c r="M31" s="9" t="str">
        <f t="shared" si="1"/>
        <v>Standard Price</v>
      </c>
      <c r="P31" s="9" t="str">
        <f t="shared" si="2"/>
        <v>13</v>
      </c>
      <c r="Q31" s="9" t="str">
        <f t="shared" si="3"/>
        <v>CA</v>
      </c>
      <c r="R31" s="9" t="str">
        <f t="shared" si="4"/>
        <v>APR</v>
      </c>
    </row>
    <row r="32" ht="15.75" customHeight="1">
      <c r="A32" s="8" t="s">
        <v>113</v>
      </c>
      <c r="B32" s="8" t="s">
        <v>99</v>
      </c>
      <c r="C32" s="8" t="s">
        <v>114</v>
      </c>
      <c r="D32" s="8">
        <v>130.0</v>
      </c>
      <c r="E32" s="8">
        <v>5.0</v>
      </c>
      <c r="F32" s="8" t="s">
        <v>29</v>
      </c>
      <c r="G32" s="8"/>
      <c r="M32" s="9" t="str">
        <f t="shared" si="1"/>
        <v>Standard Price</v>
      </c>
      <c r="P32" s="9" t="str">
        <f t="shared" si="2"/>
        <v>24</v>
      </c>
      <c r="Q32" s="9" t="str">
        <f t="shared" si="3"/>
        <v>CA</v>
      </c>
      <c r="R32" s="9" t="str">
        <f t="shared" si="4"/>
        <v>MAY</v>
      </c>
    </row>
    <row r="33" ht="15.75" customHeight="1">
      <c r="A33" s="10" t="s">
        <v>115</v>
      </c>
      <c r="B33" s="10" t="s">
        <v>116</v>
      </c>
      <c r="C33" s="10" t="s">
        <v>117</v>
      </c>
      <c r="D33" s="10">
        <v>50.0</v>
      </c>
      <c r="E33" s="10">
        <v>50.0</v>
      </c>
      <c r="F33" s="10" t="s">
        <v>41</v>
      </c>
      <c r="G33" s="8"/>
      <c r="M33" s="9" t="str">
        <f t="shared" si="1"/>
        <v>Standard Price</v>
      </c>
      <c r="P33" s="9" t="str">
        <f t="shared" si="2"/>
        <v>02</v>
      </c>
      <c r="Q33" s="9" t="str">
        <f t="shared" si="3"/>
        <v>CA</v>
      </c>
      <c r="R33" s="9" t="str">
        <f t="shared" si="4"/>
        <v>DEC</v>
      </c>
    </row>
    <row r="34" ht="15.75" customHeight="1">
      <c r="A34" s="8" t="s">
        <v>68</v>
      </c>
      <c r="B34" s="8" t="s">
        <v>26</v>
      </c>
      <c r="C34" s="8" t="s">
        <v>69</v>
      </c>
      <c r="D34" s="8">
        <v>950.0</v>
      </c>
      <c r="E34" s="8">
        <v>25.0</v>
      </c>
      <c r="F34" s="8" t="s">
        <v>29</v>
      </c>
      <c r="G34" s="8"/>
      <c r="M34" s="9" t="str">
        <f t="shared" si="1"/>
        <v>High Price</v>
      </c>
      <c r="P34" s="9" t="str">
        <f t="shared" si="2"/>
        <v>17</v>
      </c>
      <c r="Q34" s="9" t="str">
        <f t="shared" si="3"/>
        <v>IN</v>
      </c>
      <c r="R34" s="9" t="str">
        <f t="shared" si="4"/>
        <v>JUN</v>
      </c>
    </row>
    <row r="35" ht="15.75" customHeight="1">
      <c r="A35" s="10" t="s">
        <v>118</v>
      </c>
      <c r="B35" s="10" t="s">
        <v>119</v>
      </c>
      <c r="C35" s="10" t="s">
        <v>120</v>
      </c>
      <c r="D35" s="10">
        <v>100.0</v>
      </c>
      <c r="E35" s="10">
        <v>20.0</v>
      </c>
      <c r="F35" s="10" t="s">
        <v>81</v>
      </c>
      <c r="G35" s="8"/>
      <c r="M35" s="9" t="str">
        <f t="shared" si="1"/>
        <v>Standard Price</v>
      </c>
      <c r="P35" s="9" t="str">
        <f t="shared" si="2"/>
        <v>09</v>
      </c>
      <c r="Q35" s="9" t="str">
        <f t="shared" si="3"/>
        <v>FR</v>
      </c>
      <c r="R35" s="9" t="str">
        <f t="shared" si="4"/>
        <v>JUL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